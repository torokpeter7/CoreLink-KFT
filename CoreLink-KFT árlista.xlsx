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TÜRR\Downloads\"/>
    </mc:Choice>
  </mc:AlternateContent>
  <xr:revisionPtr revIDLastSave="0" documentId="13_ncr:1_{D37CEABD-C506-4DF9-AE75-3F399686666D}" xr6:coauthVersionLast="36" xr6:coauthVersionMax="47" xr10:uidLastSave="{00000000-0000-0000-0000-000000000000}"/>
  <bookViews>
    <workbookView xWindow="0" yWindow="0" windowWidth="19200" windowHeight="11385" xr2:uid="{0916B2E3-0F4C-4406-9F9F-122E188C2873}"/>
  </bookViews>
  <sheets>
    <sheet name="Össz." sheetId="1" r:id="rId1"/>
    <sheet name="Pc" sheetId="3" r:id="rId2"/>
    <sheet name="Laptop" sheetId="2" r:id="rId3"/>
    <sheet name="Szerver" sheetId="5" r:id="rId4"/>
    <sheet name="ASA" sheetId="6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1" l="1"/>
  <c r="G14" i="1"/>
  <c r="G13" i="1"/>
  <c r="G12" i="1"/>
  <c r="G10" i="1"/>
  <c r="G9" i="1"/>
  <c r="G8" i="1"/>
  <c r="G7" i="1"/>
  <c r="G6" i="1"/>
  <c r="G3" i="1"/>
  <c r="D9" i="3"/>
  <c r="F14" i="1" l="1"/>
  <c r="F13" i="1"/>
  <c r="F12" i="1"/>
  <c r="F11" i="1"/>
  <c r="F10" i="1"/>
  <c r="F9" i="1"/>
  <c r="F8" i="1"/>
  <c r="F7" i="1"/>
  <c r="F6" i="1"/>
  <c r="F5" i="1"/>
  <c r="F3" i="1"/>
  <c r="F4" i="1"/>
</calcChain>
</file>

<file path=xl/sharedStrings.xml><?xml version="1.0" encoding="utf-8"?>
<sst xmlns="http://schemas.openxmlformats.org/spreadsheetml/2006/main" count="52" uniqueCount="47">
  <si>
    <t>Eszköz</t>
  </si>
  <si>
    <t>Laptop</t>
  </si>
  <si>
    <t>Tárcsás telefon</t>
  </si>
  <si>
    <t>2960 Cisco Switch</t>
  </si>
  <si>
    <t>ISR4331 Cisco Router</t>
  </si>
  <si>
    <t>3650 Cisco Multi Layer Switch</t>
  </si>
  <si>
    <t>UTP Kábel</t>
  </si>
  <si>
    <t>Serial Kábel</t>
  </si>
  <si>
    <t>Darabszám Baja</t>
  </si>
  <si>
    <t>Darabszám Debrecen</t>
  </si>
  <si>
    <t>Darabszám Győr</t>
  </si>
  <si>
    <t>Darabszám Budapest</t>
  </si>
  <si>
    <t>Teljes darabszám</t>
  </si>
  <si>
    <t>Teljes ár (€)</t>
  </si>
  <si>
    <t>Asztali gép (irodai)</t>
  </si>
  <si>
    <t>Asztali gép (Rendszergazda)</t>
  </si>
  <si>
    <t>Nyomtató</t>
  </si>
  <si>
    <t>200méter</t>
  </si>
  <si>
    <t>ASA</t>
  </si>
  <si>
    <t>WLC</t>
  </si>
  <si>
    <t>AP</t>
  </si>
  <si>
    <t>Szerver</t>
  </si>
  <si>
    <t>90m</t>
  </si>
  <si>
    <t>50m</t>
  </si>
  <si>
    <t>240m</t>
  </si>
  <si>
    <t>400méter</t>
  </si>
  <si>
    <t>1000m</t>
  </si>
  <si>
    <t>Processzor</t>
  </si>
  <si>
    <t>amd ryzen 5 5500gt</t>
  </si>
  <si>
    <t>Alaplap</t>
  </si>
  <si>
    <t>asrock b450m pro4 r2.0</t>
  </si>
  <si>
    <t>Ár</t>
  </si>
  <si>
    <t>RAM</t>
  </si>
  <si>
    <t>8GB DDR4</t>
  </si>
  <si>
    <t>SSD</t>
  </si>
  <si>
    <t>western digital wd red sa500 nas 500gb</t>
  </si>
  <si>
    <t>Tápegység</t>
  </si>
  <si>
    <t>Gépház</t>
  </si>
  <si>
    <t>whiteshark panzer-2</t>
  </si>
  <si>
    <t>deepcool 650w - pf650</t>
  </si>
  <si>
    <t>Összesen:</t>
  </si>
  <si>
    <t>lenovo ideapad slim 5 14arp10</t>
  </si>
  <si>
    <t>Modell</t>
  </si>
  <si>
    <t>Belső részek</t>
  </si>
  <si>
    <t>Belső részek modellje</t>
  </si>
  <si>
    <t>https://psref.lenovo.com/Product/IdeaPad/IdeaPad_Slim_5_14ARP10</t>
  </si>
  <si>
    <t>Specifikációk (link):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</si>
</sst>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1];[Red]\-#,##0.00\ [$€-1]"/>
    <numFmt numFmtId="165" formatCode="#,##0\ [$€-1];[Red]\-#,##0\ [$€-1]"/>
  </numFmts>
  <fonts count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3A488-0522-4B95-8ABB-90B3293D8594}">
  <dimension ref="A2:G16"/>
  <sheetViews>
    <sheetView tabSelected="1" workbookViewId="0">
      <selection activeCell="I5" sqref="I5"/>
    </sheetView>
  </sheetViews>
  <sheetFormatPr defaultRowHeight="14.25"/>
  <cols>
    <col min="1" max="1" width="24.75" bestFit="1" customWidth="1"/>
    <col min="2" max="2" width="14.125" bestFit="1" customWidth="1"/>
    <col min="3" max="3" width="18.5" bestFit="1" customWidth="1"/>
    <col min="4" max="4" width="14.375" bestFit="1" customWidth="1"/>
    <col min="5" max="5" width="18.25" bestFit="1" customWidth="1"/>
    <col min="6" max="6" width="15" bestFit="1" customWidth="1"/>
    <col min="7" max="7" width="9.875" customWidth="1"/>
  </cols>
  <sheetData>
    <row r="2" spans="1:7">
      <c r="A2" t="s">
        <v>0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</row>
    <row r="3" spans="1:7">
      <c r="A3" t="s">
        <v>14</v>
      </c>
      <c r="B3">
        <v>7</v>
      </c>
      <c r="C3">
        <v>6</v>
      </c>
      <c r="D3">
        <v>4</v>
      </c>
      <c r="E3">
        <v>4</v>
      </c>
      <c r="F3">
        <f t="shared" ref="F3:F14" si="0">B3+C3+D3+E3</f>
        <v>21</v>
      </c>
      <c r="G3">
        <f>F3*465.34</f>
        <v>9772.14</v>
      </c>
    </row>
    <row r="4" spans="1:7">
      <c r="A4" t="s">
        <v>15</v>
      </c>
      <c r="B4">
        <v>1</v>
      </c>
      <c r="C4">
        <v>1</v>
      </c>
      <c r="D4">
        <v>1</v>
      </c>
      <c r="E4">
        <v>1</v>
      </c>
      <c r="F4">
        <f t="shared" si="0"/>
        <v>4</v>
      </c>
    </row>
    <row r="5" spans="1:7">
      <c r="A5" t="s">
        <v>1</v>
      </c>
      <c r="B5">
        <v>1</v>
      </c>
      <c r="C5">
        <v>5</v>
      </c>
      <c r="D5">
        <v>0</v>
      </c>
      <c r="E5">
        <v>0</v>
      </c>
      <c r="F5">
        <f t="shared" si="0"/>
        <v>6</v>
      </c>
      <c r="G5">
        <f>6*645.34</f>
        <v>3872.04</v>
      </c>
    </row>
    <row r="6" spans="1:7">
      <c r="A6" t="s">
        <v>2</v>
      </c>
      <c r="B6">
        <v>8</v>
      </c>
      <c r="C6">
        <v>4</v>
      </c>
      <c r="D6">
        <v>4</v>
      </c>
      <c r="E6">
        <v>4</v>
      </c>
      <c r="F6">
        <f t="shared" si="0"/>
        <v>20</v>
      </c>
      <c r="G6">
        <f>F6*30</f>
        <v>600</v>
      </c>
    </row>
    <row r="7" spans="1:7">
      <c r="A7" t="s">
        <v>16</v>
      </c>
      <c r="B7">
        <v>7</v>
      </c>
      <c r="C7">
        <v>2</v>
      </c>
      <c r="D7">
        <v>4</v>
      </c>
      <c r="E7">
        <v>4</v>
      </c>
      <c r="F7">
        <f t="shared" si="0"/>
        <v>17</v>
      </c>
      <c r="G7">
        <f>F7*55</f>
        <v>935</v>
      </c>
    </row>
    <row r="8" spans="1:7">
      <c r="A8" t="s">
        <v>3</v>
      </c>
      <c r="B8">
        <v>8</v>
      </c>
      <c r="C8">
        <v>4</v>
      </c>
      <c r="D8">
        <v>6</v>
      </c>
      <c r="E8">
        <v>5</v>
      </c>
      <c r="F8">
        <f t="shared" si="0"/>
        <v>23</v>
      </c>
      <c r="G8">
        <f>F8*60</f>
        <v>1380</v>
      </c>
    </row>
    <row r="9" spans="1:7">
      <c r="A9" t="s">
        <v>4</v>
      </c>
      <c r="B9">
        <v>4</v>
      </c>
      <c r="C9">
        <v>4</v>
      </c>
      <c r="D9">
        <v>3</v>
      </c>
      <c r="E9">
        <v>2</v>
      </c>
      <c r="F9">
        <f t="shared" si="0"/>
        <v>13</v>
      </c>
      <c r="G9">
        <f>F9*400</f>
        <v>5200</v>
      </c>
    </row>
    <row r="10" spans="1:7">
      <c r="A10" t="s">
        <v>5</v>
      </c>
      <c r="B10">
        <v>0</v>
      </c>
      <c r="C10">
        <v>1</v>
      </c>
      <c r="D10">
        <v>0</v>
      </c>
      <c r="E10">
        <v>1</v>
      </c>
      <c r="F10">
        <f t="shared" si="0"/>
        <v>2</v>
      </c>
      <c r="G10">
        <f>F10*250</f>
        <v>500</v>
      </c>
    </row>
    <row r="11" spans="1:7">
      <c r="A11" t="s">
        <v>21</v>
      </c>
      <c r="B11">
        <v>1</v>
      </c>
      <c r="C11">
        <v>1</v>
      </c>
      <c r="D11">
        <v>1</v>
      </c>
      <c r="E11">
        <v>1</v>
      </c>
      <c r="F11">
        <f t="shared" si="0"/>
        <v>4</v>
      </c>
    </row>
    <row r="12" spans="1:7">
      <c r="A12" t="s">
        <v>18</v>
      </c>
      <c r="B12">
        <v>1</v>
      </c>
      <c r="C12">
        <v>0</v>
      </c>
      <c r="D12">
        <v>0</v>
      </c>
      <c r="E12">
        <v>0</v>
      </c>
      <c r="F12">
        <f t="shared" si="0"/>
        <v>1</v>
      </c>
      <c r="G12">
        <f>F12*300</f>
        <v>300</v>
      </c>
    </row>
    <row r="13" spans="1:7">
      <c r="A13" t="s">
        <v>19</v>
      </c>
      <c r="B13">
        <v>1</v>
      </c>
      <c r="C13">
        <v>0</v>
      </c>
      <c r="D13">
        <v>0</v>
      </c>
      <c r="E13">
        <v>0</v>
      </c>
      <c r="F13">
        <f t="shared" si="0"/>
        <v>1</v>
      </c>
      <c r="G13">
        <f>F13*1000</f>
        <v>1000</v>
      </c>
    </row>
    <row r="14" spans="1:7">
      <c r="A14" t="s">
        <v>20</v>
      </c>
      <c r="B14">
        <v>3</v>
      </c>
      <c r="C14">
        <v>0</v>
      </c>
      <c r="D14">
        <v>0</v>
      </c>
      <c r="E14">
        <v>0</v>
      </c>
      <c r="F14">
        <f t="shared" si="0"/>
        <v>3</v>
      </c>
      <c r="G14">
        <f>F14*95</f>
        <v>285</v>
      </c>
    </row>
    <row r="15" spans="1:7">
      <c r="A15" t="s">
        <v>7</v>
      </c>
      <c r="B15" t="s">
        <v>22</v>
      </c>
      <c r="C15" t="s">
        <v>23</v>
      </c>
      <c r="D15" t="s">
        <v>23</v>
      </c>
      <c r="E15" t="s">
        <v>23</v>
      </c>
      <c r="F15" t="s">
        <v>24</v>
      </c>
      <c r="G15">
        <v>300</v>
      </c>
    </row>
    <row r="16" spans="1:7">
      <c r="A16" t="s">
        <v>6</v>
      </c>
      <c r="B16" t="s">
        <v>25</v>
      </c>
      <c r="C16" t="s">
        <v>17</v>
      </c>
      <c r="D16" t="s">
        <v>17</v>
      </c>
      <c r="E16" t="s">
        <v>17</v>
      </c>
      <c r="F16" t="s">
        <v>26</v>
      </c>
      <c r="G16">
        <v>750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31806-A867-4AB7-87A5-188388593F64}">
  <dimension ref="B2:D9"/>
  <sheetViews>
    <sheetView workbookViewId="0">
      <selection activeCell="C3" sqref="C3"/>
    </sheetView>
  </sheetViews>
  <sheetFormatPr defaultRowHeight="14.25"/>
  <cols>
    <col min="2" max="2" width="11.5" bestFit="1" customWidth="1"/>
    <col min="3" max="3" width="33.75" bestFit="1" customWidth="1"/>
  </cols>
  <sheetData>
    <row r="2" spans="2:4">
      <c r="B2" t="s">
        <v>43</v>
      </c>
      <c r="C2" t="s">
        <v>44</v>
      </c>
      <c r="D2" t="s">
        <v>31</v>
      </c>
    </row>
    <row r="3" spans="2:4">
      <c r="B3" t="s">
        <v>27</v>
      </c>
      <c r="C3" t="s">
        <v>28</v>
      </c>
      <c r="D3" s="1">
        <v>133.34</v>
      </c>
    </row>
    <row r="4" spans="2:4">
      <c r="B4" t="s">
        <v>29</v>
      </c>
      <c r="C4" t="s">
        <v>30</v>
      </c>
      <c r="D4" s="2">
        <v>76</v>
      </c>
    </row>
    <row r="5" spans="2:4">
      <c r="B5" t="s">
        <v>32</v>
      </c>
      <c r="C5" t="s">
        <v>33</v>
      </c>
      <c r="D5" s="2">
        <v>68</v>
      </c>
    </row>
    <row r="6" spans="2:4">
      <c r="B6" t="s">
        <v>34</v>
      </c>
      <c r="C6" t="s">
        <v>35</v>
      </c>
      <c r="D6" s="2">
        <v>100</v>
      </c>
    </row>
    <row r="7" spans="2:4">
      <c r="B7" t="s">
        <v>36</v>
      </c>
      <c r="C7" t="s">
        <v>39</v>
      </c>
      <c r="D7" s="2">
        <v>55</v>
      </c>
    </row>
    <row r="8" spans="2:4">
      <c r="B8" t="s">
        <v>37</v>
      </c>
      <c r="C8" t="s">
        <v>38</v>
      </c>
      <c r="D8" s="2">
        <v>33</v>
      </c>
    </row>
    <row r="9" spans="2:4">
      <c r="C9" s="3" t="s">
        <v>40</v>
      </c>
      <c r="D9" s="1">
        <f>D3+D4+D5+D6+D7+D8</f>
        <v>465.34000000000003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B1946-6DF5-47CD-A15C-97F472879888}">
  <dimension ref="A2:C4"/>
  <sheetViews>
    <sheetView workbookViewId="0">
      <selection activeCell="B11" sqref="B11"/>
    </sheetView>
  </sheetViews>
  <sheetFormatPr defaultRowHeight="14.25"/>
  <cols>
    <col min="1" max="1" width="16.5" bestFit="1" customWidth="1"/>
    <col min="2" max="2" width="58.375" bestFit="1" customWidth="1"/>
  </cols>
  <sheetData>
    <row r="2" spans="1:3">
      <c r="C2" t="s">
        <v>31</v>
      </c>
    </row>
    <row r="3" spans="1:3">
      <c r="A3" t="s">
        <v>42</v>
      </c>
      <c r="B3" t="s">
        <v>41</v>
      </c>
      <c r="C3" s="1">
        <v>645.34</v>
      </c>
    </row>
    <row r="4" spans="1:3">
      <c r="A4" t="s">
        <v>46</v>
      </c>
      <c r="B4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35558-1128-46F2-B5D0-284A6299A096}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2CC2-4B7C-42D0-8DA7-565399B726A1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Össz.</vt:lpstr>
      <vt:lpstr>Pc</vt:lpstr>
      <vt:lpstr>Laptop</vt:lpstr>
      <vt:lpstr>Szerver</vt:lpstr>
      <vt:lpstr>ASA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Szekeres Rafael Alex</dc:creator>
  <cp:lastModifiedBy>TÜRR</cp:lastModifiedBy>
  <dcterms:created xsi:type="dcterms:W3CDTF">2026-01-27T21:31:48Z</dcterms:created>
  <dcterms:modified xsi:type="dcterms:W3CDTF">2026-02-24T07:42:28Z</dcterms:modified>
</cp:coreProperties>
</file>