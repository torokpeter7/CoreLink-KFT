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fael\Documents\"/>
    </mc:Choice>
  </mc:AlternateContent>
  <xr:revisionPtr revIDLastSave="0" documentId="13_ncr:1_{B3D39A20-8AA8-41C3-BC7F-B1DA4F74634C}" xr6:coauthVersionLast="47" xr6:coauthVersionMax="47" xr10:uidLastSave="{00000000-0000-0000-0000-000000000000}"/>
  <bookViews>
    <workbookView xWindow="-108" yWindow="-108" windowWidth="23256" windowHeight="13176" xr2:uid="{0916B2E3-0F4C-4406-9F9F-122E188C2873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G14" i="1"/>
  <c r="G13" i="1"/>
  <c r="G12" i="1"/>
  <c r="G11" i="1"/>
  <c r="G10" i="1"/>
  <c r="G9" i="1"/>
  <c r="G8" i="1"/>
  <c r="G7" i="1"/>
  <c r="G6" i="1"/>
  <c r="G5" i="1"/>
  <c r="G4" i="1"/>
  <c r="G3" i="1"/>
  <c r="F14" i="1"/>
  <c r="F13" i="1"/>
  <c r="F12" i="1"/>
  <c r="F11" i="1"/>
  <c r="F10" i="1"/>
  <c r="F9" i="1"/>
  <c r="F8" i="1"/>
  <c r="F7" i="1"/>
  <c r="F6" i="1"/>
  <c r="F5" i="1"/>
  <c r="F3" i="1"/>
  <c r="F4" i="1"/>
</calcChain>
</file>

<file path=xl/sharedStrings.xml><?xml version="1.0" encoding="utf-8"?>
<sst xmlns="http://schemas.openxmlformats.org/spreadsheetml/2006/main" count="31" uniqueCount="27">
  <si>
    <t>Eszköz</t>
  </si>
  <si>
    <t>Laptop</t>
  </si>
  <si>
    <t>Tárcsás telefon</t>
  </si>
  <si>
    <t>2960 Cisco Switch</t>
  </si>
  <si>
    <t>ISR4331 Cisco Router</t>
  </si>
  <si>
    <t>3650 Cisco Multi Layer Switch</t>
  </si>
  <si>
    <t>UTP Kábel</t>
  </si>
  <si>
    <t>Serial Kábel</t>
  </si>
  <si>
    <t>Darabszám Baja</t>
  </si>
  <si>
    <t>Darabszám Debrecen</t>
  </si>
  <si>
    <t>Darabszám Győr</t>
  </si>
  <si>
    <t>Darabszám Budapest</t>
  </si>
  <si>
    <t>Teljes darabszám</t>
  </si>
  <si>
    <t>Teljes ár (€)</t>
  </si>
  <si>
    <t>Asztali gép (irodai)</t>
  </si>
  <si>
    <t>Asztali gép (Rendszergazda)</t>
  </si>
  <si>
    <t>Nyomtató</t>
  </si>
  <si>
    <t>200méter</t>
  </si>
  <si>
    <t>ASA</t>
  </si>
  <si>
    <t>WLC</t>
  </si>
  <si>
    <t>AP</t>
  </si>
  <si>
    <t>Szerver</t>
  </si>
  <si>
    <t>90m</t>
  </si>
  <si>
    <t>50m</t>
  </si>
  <si>
    <t>240m</t>
  </si>
  <si>
    <t>400méter</t>
  </si>
  <si>
    <t>1000m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</si>
</sst>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3A488-0522-4B95-8ABB-90B3293D8594}">
  <dimension ref="A2:G17"/>
  <sheetViews>
    <sheetView tabSelected="1" workbookViewId="0">
      <selection activeCell="G18" sqref="G18"/>
    </sheetView>
  </sheetViews>
  <sheetFormatPr defaultRowHeight="14.4" x14ac:dyDescent="0.3"/>
  <cols>
    <col min="1" max="1" width="24.77734375" bestFit="1" customWidth="1"/>
    <col min="2" max="2" width="14.109375" bestFit="1" customWidth="1"/>
    <col min="3" max="3" width="18.5546875" bestFit="1" customWidth="1"/>
    <col min="4" max="4" width="14.33203125" bestFit="1" customWidth="1"/>
    <col min="5" max="5" width="18.21875" bestFit="1" customWidth="1"/>
    <col min="6" max="6" width="15" bestFit="1" customWidth="1"/>
    <col min="7" max="7" width="10.109375" bestFit="1" customWidth="1"/>
  </cols>
  <sheetData>
    <row r="2" spans="1:7" x14ac:dyDescent="0.3">
      <c r="A2" t="s">
        <v>0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  <row r="3" spans="1:7" x14ac:dyDescent="0.3">
      <c r="A3" t="s">
        <v>14</v>
      </c>
      <c r="B3">
        <v>7</v>
      </c>
      <c r="C3">
        <v>6</v>
      </c>
      <c r="D3">
        <v>4</v>
      </c>
      <c r="E3">
        <v>4</v>
      </c>
      <c r="F3">
        <f>B3+C3+D3+E3</f>
        <v>21</v>
      </c>
      <c r="G3">
        <f>F3*475</f>
        <v>9975</v>
      </c>
    </row>
    <row r="4" spans="1:7" x14ac:dyDescent="0.3">
      <c r="A4" t="s">
        <v>15</v>
      </c>
      <c r="B4">
        <v>1</v>
      </c>
      <c r="C4">
        <v>1</v>
      </c>
      <c r="D4">
        <v>1</v>
      </c>
      <c r="E4">
        <v>1</v>
      </c>
      <c r="F4">
        <f>B4+C4+D4+E4</f>
        <v>4</v>
      </c>
      <c r="G4">
        <f>F4*710</f>
        <v>2840</v>
      </c>
    </row>
    <row r="5" spans="1:7" x14ac:dyDescent="0.3">
      <c r="A5" t="s">
        <v>1</v>
      </c>
      <c r="B5">
        <v>1</v>
      </c>
      <c r="C5">
        <v>5</v>
      </c>
      <c r="D5">
        <v>0</v>
      </c>
      <c r="E5">
        <v>0</v>
      </c>
      <c r="F5">
        <f>B5+C5+D5+E5</f>
        <v>6</v>
      </c>
      <c r="G5">
        <f>F5*565</f>
        <v>3390</v>
      </c>
    </row>
    <row r="6" spans="1:7" x14ac:dyDescent="0.3">
      <c r="A6" t="s">
        <v>2</v>
      </c>
      <c r="B6">
        <v>8</v>
      </c>
      <c r="C6">
        <v>4</v>
      </c>
      <c r="D6">
        <v>4</v>
      </c>
      <c r="E6">
        <v>4</v>
      </c>
      <c r="F6">
        <f>B6+C6+D6+E6</f>
        <v>20</v>
      </c>
      <c r="G6">
        <f>F6*25</f>
        <v>500</v>
      </c>
    </row>
    <row r="7" spans="1:7" x14ac:dyDescent="0.3">
      <c r="A7" t="s">
        <v>16</v>
      </c>
      <c r="B7">
        <v>7</v>
      </c>
      <c r="C7">
        <v>2</v>
      </c>
      <c r="D7">
        <v>4</v>
      </c>
      <c r="E7">
        <v>4</v>
      </c>
      <c r="F7">
        <f>B7+C7+D7+E7</f>
        <v>17</v>
      </c>
      <c r="G7">
        <f>F7*50</f>
        <v>850</v>
      </c>
    </row>
    <row r="8" spans="1:7" x14ac:dyDescent="0.3">
      <c r="A8" t="s">
        <v>3</v>
      </c>
      <c r="B8">
        <v>8</v>
      </c>
      <c r="C8">
        <v>4</v>
      </c>
      <c r="D8">
        <v>6</v>
      </c>
      <c r="E8">
        <v>5</v>
      </c>
      <c r="F8">
        <f>B8+C8+D8+E8</f>
        <v>23</v>
      </c>
      <c r="G8">
        <f>F8*55</f>
        <v>1265</v>
      </c>
    </row>
    <row r="9" spans="1:7" x14ac:dyDescent="0.3">
      <c r="A9" t="s">
        <v>4</v>
      </c>
      <c r="B9">
        <v>4</v>
      </c>
      <c r="C9">
        <v>4</v>
      </c>
      <c r="D9">
        <v>3</v>
      </c>
      <c r="E9">
        <v>2</v>
      </c>
      <c r="F9">
        <f>B9+C9+D9+E9</f>
        <v>13</v>
      </c>
      <c r="G9">
        <f>F9*390</f>
        <v>5070</v>
      </c>
    </row>
    <row r="10" spans="1:7" x14ac:dyDescent="0.3">
      <c r="A10" t="s">
        <v>5</v>
      </c>
      <c r="B10">
        <v>0</v>
      </c>
      <c r="C10">
        <v>1</v>
      </c>
      <c r="D10">
        <v>0</v>
      </c>
      <c r="E10">
        <v>1</v>
      </c>
      <c r="F10">
        <f>B10+C10+D10+E10</f>
        <v>2</v>
      </c>
      <c r="G10">
        <f>F10*240</f>
        <v>480</v>
      </c>
    </row>
    <row r="11" spans="1:7" x14ac:dyDescent="0.3">
      <c r="A11" t="s">
        <v>21</v>
      </c>
      <c r="B11">
        <v>1</v>
      </c>
      <c r="C11">
        <v>1</v>
      </c>
      <c r="D11">
        <v>1</v>
      </c>
      <c r="E11">
        <v>1</v>
      </c>
      <c r="F11">
        <f>B11+C11+D11+E11</f>
        <v>4</v>
      </c>
      <c r="G11">
        <f>F11*2600</f>
        <v>10400</v>
      </c>
    </row>
    <row r="12" spans="1:7" x14ac:dyDescent="0.3">
      <c r="A12" t="s">
        <v>18</v>
      </c>
      <c r="B12">
        <v>1</v>
      </c>
      <c r="C12">
        <v>0</v>
      </c>
      <c r="D12">
        <v>0</v>
      </c>
      <c r="E12">
        <v>0</v>
      </c>
      <c r="F12">
        <f>B12+C12+D12+E12</f>
        <v>1</v>
      </c>
      <c r="G12">
        <f>F12*265</f>
        <v>265</v>
      </c>
    </row>
    <row r="13" spans="1:7" x14ac:dyDescent="0.3">
      <c r="A13" t="s">
        <v>19</v>
      </c>
      <c r="B13">
        <v>1</v>
      </c>
      <c r="C13">
        <v>0</v>
      </c>
      <c r="D13">
        <v>0</v>
      </c>
      <c r="E13">
        <v>0</v>
      </c>
      <c r="F13">
        <f>B13+C13+D13+E13</f>
        <v>1</v>
      </c>
      <c r="G13">
        <f>F13*840</f>
        <v>840</v>
      </c>
    </row>
    <row r="14" spans="1:7" x14ac:dyDescent="0.3">
      <c r="A14" t="s">
        <v>20</v>
      </c>
      <c r="B14">
        <v>3</v>
      </c>
      <c r="C14">
        <v>0</v>
      </c>
      <c r="D14">
        <v>0</v>
      </c>
      <c r="E14">
        <v>0</v>
      </c>
      <c r="F14">
        <f>B14+C14+D14+E14</f>
        <v>3</v>
      </c>
      <c r="G14">
        <f>F14*80</f>
        <v>240</v>
      </c>
    </row>
    <row r="15" spans="1:7" x14ac:dyDescent="0.3">
      <c r="A15" t="s">
        <v>7</v>
      </c>
      <c r="B15" t="s">
        <v>22</v>
      </c>
      <c r="C15" t="s">
        <v>23</v>
      </c>
      <c r="D15" t="s">
        <v>23</v>
      </c>
      <c r="E15" t="s">
        <v>23</v>
      </c>
      <c r="F15" t="s">
        <v>24</v>
      </c>
      <c r="G15">
        <v>300</v>
      </c>
    </row>
    <row r="16" spans="1:7" x14ac:dyDescent="0.3">
      <c r="A16" t="s">
        <v>6</v>
      </c>
      <c r="B16" t="s">
        <v>25</v>
      </c>
      <c r="C16" t="s">
        <v>17</v>
      </c>
      <c r="D16" t="s">
        <v>17</v>
      </c>
      <c r="E16" t="s">
        <v>17</v>
      </c>
      <c r="F16" t="s">
        <v>26</v>
      </c>
      <c r="G16">
        <v>750</v>
      </c>
    </row>
    <row r="17" spans="7:7" x14ac:dyDescent="0.3">
      <c r="G17">
        <f>G3+G4+G5+G6+G7+G8+G9+G10+G11+G12+G13+G14+G15+G16</f>
        <v>37165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Szekeres Rafael Alex</dc:creator>
  <cp:lastModifiedBy>Szekeres Rafael Alex</cp:lastModifiedBy>
  <dcterms:created xsi:type="dcterms:W3CDTF">2026-01-27T21:31:48Z</dcterms:created>
  <dcterms:modified xsi:type="dcterms:W3CDTF">2026-01-28T21:05:28Z</dcterms:modified>
</cp:coreProperties>
</file>