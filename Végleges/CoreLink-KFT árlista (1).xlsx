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l\Downloads\"/>
    </mc:Choice>
  </mc:AlternateContent>
  <xr:revisionPtr revIDLastSave="0" documentId="13_ncr:1_{3BCF78E4-B829-4A83-83E9-4D09E2EC4FCF}" xr6:coauthVersionLast="47" xr6:coauthVersionMax="47" xr10:uidLastSave="{00000000-0000-0000-0000-000000000000}"/>
  <bookViews>
    <workbookView xWindow="-108" yWindow="-108" windowWidth="23256" windowHeight="13176" activeTab="4" xr2:uid="{0916B2E3-0F4C-4406-9F9F-122E188C2873}"/>
  </bookViews>
  <sheets>
    <sheet name="Össz." sheetId="1" r:id="rId1"/>
    <sheet name="Pc" sheetId="3" r:id="rId2"/>
    <sheet name="Laptop" sheetId="2" r:id="rId3"/>
    <sheet name="Szerver" sheetId="5" r:id="rId4"/>
    <sheet name="Tablet" sheetId="7" r:id="rId5"/>
    <sheet name="ASA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11" i="1"/>
  <c r="G12" i="1"/>
  <c r="G13" i="1"/>
  <c r="G14" i="1"/>
  <c r="G15" i="1"/>
  <c r="G16" i="1"/>
  <c r="F16" i="1"/>
  <c r="F6" i="1"/>
  <c r="D20" i="3"/>
  <c r="D9" i="3" l="1"/>
  <c r="F15" i="1" l="1"/>
  <c r="F14" i="1"/>
  <c r="F13" i="1"/>
  <c r="F10" i="1"/>
  <c r="G10" i="1" s="1"/>
  <c r="F9" i="1"/>
  <c r="G9" i="1" s="1"/>
  <c r="F8" i="1"/>
  <c r="G8" i="1" s="1"/>
  <c r="F7" i="1"/>
  <c r="G7" i="1" s="1"/>
  <c r="F5" i="1"/>
  <c r="F3" i="1"/>
  <c r="G3" i="1" s="1"/>
  <c r="F4" i="1"/>
  <c r="G19" i="1" l="1"/>
</calcChain>
</file>

<file path=xl/sharedStrings.xml><?xml version="1.0" encoding="utf-8"?>
<sst xmlns="http://schemas.openxmlformats.org/spreadsheetml/2006/main" count="88" uniqueCount="65">
  <si>
    <t>Eszköz</t>
  </si>
  <si>
    <t>Laptop</t>
  </si>
  <si>
    <t>Tárcsás telefon</t>
  </si>
  <si>
    <t>2960 Cisco Switch</t>
  </si>
  <si>
    <t>ISR4331 Cisco Router</t>
  </si>
  <si>
    <t>3650 Cisco Multi Layer Switch</t>
  </si>
  <si>
    <t>UTP Kábel</t>
  </si>
  <si>
    <t>Serial Kábel</t>
  </si>
  <si>
    <t>Darabszám Baja</t>
  </si>
  <si>
    <t>Darabszám Debrecen</t>
  </si>
  <si>
    <t>Darabszám Győr</t>
  </si>
  <si>
    <t>Darabszám Budapest</t>
  </si>
  <si>
    <t>Teljes darabszám</t>
  </si>
  <si>
    <t>Teljes ár (€)</t>
  </si>
  <si>
    <t>Asztali gép (irodai)</t>
  </si>
  <si>
    <t>Asztali gép (Rendszergazda)</t>
  </si>
  <si>
    <t>Nyomtató</t>
  </si>
  <si>
    <t>200méter</t>
  </si>
  <si>
    <t>ASA</t>
  </si>
  <si>
    <t>WLC</t>
  </si>
  <si>
    <t>AP</t>
  </si>
  <si>
    <t>90m</t>
  </si>
  <si>
    <t>50m</t>
  </si>
  <si>
    <t>240m</t>
  </si>
  <si>
    <t>400méter</t>
  </si>
  <si>
    <t>1000m</t>
  </si>
  <si>
    <t>Processzor</t>
  </si>
  <si>
    <t>amd ryzen 5 5500gt</t>
  </si>
  <si>
    <t>Alaplap</t>
  </si>
  <si>
    <t>asrock b450m pro4 r2.0</t>
  </si>
  <si>
    <t>Ár</t>
  </si>
  <si>
    <t>RAM</t>
  </si>
  <si>
    <t>8GB DDR4</t>
  </si>
  <si>
    <t>SSD</t>
  </si>
  <si>
    <t>western digital wd red sa500 nas 500gb</t>
  </si>
  <si>
    <t>Tápegység</t>
  </si>
  <si>
    <t>Gépház</t>
  </si>
  <si>
    <t>whiteshark panzer-2</t>
  </si>
  <si>
    <t>deepcool 650w - pf650</t>
  </si>
  <si>
    <t>Összesen:</t>
  </si>
  <si>
    <t>lenovo ideapad slim 5 14arp10</t>
  </si>
  <si>
    <t>Modell</t>
  </si>
  <si>
    <t>Belső részek</t>
  </si>
  <si>
    <t>Belső részek modellje</t>
  </si>
  <si>
    <t>https://psref.lenovo.com/Product/IdeaPad/IdeaPad_Slim_5_14ARP10</t>
  </si>
  <si>
    <t>Specifikációk (link):</t>
  </si>
  <si>
    <t>IRODAI!!</t>
  </si>
  <si>
    <t>Ryzen 7 9700X</t>
  </si>
  <si>
    <t>32GB DDR5</t>
  </si>
  <si>
    <t>1TB</t>
  </si>
  <si>
    <t>Corsair RM650e</t>
  </si>
  <si>
    <t>Lian Li O11D Mini V2</t>
  </si>
  <si>
    <t>MSI MAG B850</t>
  </si>
  <si>
    <t>Szerver fizikai (összesen 2)</t>
  </si>
  <si>
    <t>Windows és linux szerverszolgáltatás(összesen 2)</t>
  </si>
  <si>
    <t>összesen:</t>
  </si>
  <si>
    <t>AMD Ryzen™ 7 7735HS</t>
  </si>
  <si>
    <t>Integralt videokártya</t>
  </si>
  <si>
    <t>AMD Radeon™ 680M</t>
  </si>
  <si>
    <t>DELL PowerEdge R760XS 2U Rack H755 (HW RAID 0,1,5,10,50,60) 1x 4514Y 2x PSU iDRAC9 Enterprise 12x 3,5</t>
  </si>
  <si>
    <t>https://tinyurl.com/286yypwa</t>
  </si>
  <si>
    <t>Tablet</t>
  </si>
  <si>
    <t>Rendszergazda</t>
  </si>
  <si>
    <t>https://tinyurl.com/3jmsvre8</t>
  </si>
  <si>
    <t>Lenovo Idea Tab ZAFR0345GR - 11"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</si>
</sst>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[$€-2]\ * #,##0.00_);_([$€-2]\ * \(#,##0.00\);_([$€-2]\ * &quot;-&quot;??_);_(@_)"/>
  </numFmts>
  <fonts count="9" x14ac:knownFonts="1">
    <font>
      <sz val="11"/>
      <color theme="1"/>
      <name val="Aptos Narrow"/>
      <family val="2"/>
      <charset val="238"/>
      <scheme val="minor"/>
    </font>
    <font>
      <b/>
      <sz val="18"/>
      <color rgb="FF343B43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Times New Roman"/>
      <family val="1"/>
    </font>
    <font>
      <sz val="12"/>
      <color rgb="FF0A0A0A"/>
      <name val="Times New Roman"/>
      <family val="1"/>
    </font>
    <font>
      <sz val="8"/>
      <color rgb="FF646363"/>
      <name val="Times New Roman"/>
      <family val="1"/>
    </font>
    <font>
      <u/>
      <sz val="11"/>
      <color theme="10"/>
      <name val="Times New Roman"/>
      <family val="1"/>
    </font>
    <font>
      <sz val="11"/>
      <color rgb="FF646363"/>
      <name val="Times New Roman"/>
      <family val="1"/>
    </font>
    <font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7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6" fillId="0" borderId="1" xfId="1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0" borderId="2" xfId="0" applyFont="1" applyFill="1" applyBorder="1"/>
    <xf numFmtId="0" fontId="2" fillId="0" borderId="1" xfId="1" applyBorder="1"/>
    <xf numFmtId="166" fontId="3" fillId="0" borderId="1" xfId="0" applyNumberFormat="1" applyFont="1" applyBorder="1"/>
    <xf numFmtId="166" fontId="3" fillId="0" borderId="1" xfId="2" applyNumberFormat="1" applyFont="1" applyBorder="1"/>
    <xf numFmtId="166" fontId="3" fillId="3" borderId="1" xfId="0" applyNumberFormat="1" applyFont="1" applyFill="1" applyBorder="1"/>
    <xf numFmtId="166" fontId="3" fillId="5" borderId="1" xfId="0" applyNumberFormat="1" applyFont="1" applyFill="1" applyBorder="1"/>
    <xf numFmtId="166" fontId="0" fillId="5" borderId="0" xfId="0" applyNumberFormat="1" applyFill="1"/>
    <xf numFmtId="166" fontId="3" fillId="4" borderId="1" xfId="0" applyNumberFormat="1" applyFont="1" applyFill="1" applyBorder="1"/>
    <xf numFmtId="166" fontId="0" fillId="0" borderId="1" xfId="0" applyNumberFormat="1" applyBorder="1"/>
  </cellXfs>
  <cellStyles count="3">
    <cellStyle name="Hivatkozás" xfId="1" builtinId="8"/>
    <cellStyle name="Normál" xfId="0" builtinId="0"/>
    <cellStyle name="Pénznem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422877</xdr:colOff>
      <xdr:row>1</xdr:row>
      <xdr:rowOff>130630</xdr:rowOff>
    </xdr:from>
    <xdr:to>
      <xdr:col>10</xdr:col>
      <xdr:colOff>478971</xdr:colOff>
      <xdr:row>20</xdr:row>
      <xdr:rowOff>7405</xdr:rowOff>
    </xdr:to>
    <xdr:pic>
      <xdr:nvPicPr>
        <xdr:cNvPr id="2" name="Kép 1" descr="IdeaPad_Slim_5_14ARP10_CT1_01.png">
          <a:extLst>
            <a:ext uri="{FF2B5EF4-FFF2-40B4-BE49-F238E27FC236}">
              <a16:creationId xmlns:a16="http://schemas.microsoft.com/office/drawing/2014/main" id="{61C72975-010B-4518-A987-72C016D34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020" y="315687"/>
          <a:ext cx="3713694" cy="3392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160020</xdr:colOff>
      <xdr:row>0</xdr:row>
      <xdr:rowOff>186620</xdr:rowOff>
    </xdr:from>
    <xdr:to>
      <xdr:col>12</xdr:col>
      <xdr:colOff>182879</xdr:colOff>
      <xdr:row>3</xdr:row>
      <xdr:rowOff>152400</xdr:rowOff>
    </xdr:to>
    <xdr:pic>
      <xdr:nvPicPr>
        <xdr:cNvPr id="3" name="Kép 2" descr="DELL PowerEdge R760XS 2U Rack H755 (HW RAID 0,1,5,10,50,60) 1x 4514Y 2x PSU iDRAC9 Enterprise 12x 3,5 EMEA_PER760XS4SPL_CN37055_256GBS4X4000SSD_S large">
          <a:extLst>
            <a:ext uri="{FF2B5EF4-FFF2-40B4-BE49-F238E27FC236}">
              <a16:creationId xmlns:a16="http://schemas.microsoft.com/office/drawing/2014/main" id="{D40CE83F-2509-C800-7769-DEAF69B7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5480" y="186620"/>
          <a:ext cx="5509259" cy="1596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sref.lenovo.com/Product/IdeaPad/IdeaPad_Slim_5_14ARP1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inyurl.com/286yypw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inyurl.com/3jmsvr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A488-0522-4B95-8ABB-90B3293D8594}">
  <dimension ref="A2:G19"/>
  <sheetViews>
    <sheetView zoomScaleNormal="100" workbookViewId="0">
      <selection activeCell="E15" sqref="E15"/>
    </sheetView>
  </sheetViews>
  <sheetFormatPr defaultRowHeight="14.4" x14ac:dyDescent="0.3"/>
  <cols>
    <col min="1" max="1" width="43.21875" bestFit="1" customWidth="1"/>
    <col min="2" max="2" width="14.109375" bestFit="1" customWidth="1"/>
    <col min="3" max="3" width="18.44140625" bestFit="1" customWidth="1"/>
    <col min="4" max="4" width="14.33203125" bestFit="1" customWidth="1"/>
    <col min="5" max="5" width="18.21875" bestFit="1" customWidth="1"/>
    <col min="6" max="6" width="15" bestFit="1" customWidth="1"/>
    <col min="7" max="7" width="13.109375" customWidth="1"/>
  </cols>
  <sheetData>
    <row r="2" spans="1:7" x14ac:dyDescent="0.3">
      <c r="A2" s="2" t="s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>
        <v>7</v>
      </c>
      <c r="C3" s="2">
        <v>6</v>
      </c>
      <c r="D3" s="2">
        <v>4</v>
      </c>
      <c r="E3" s="2">
        <v>4</v>
      </c>
      <c r="F3" s="2">
        <f t="shared" ref="F3:F15" si="0">B3+C3+D3+E3</f>
        <v>21</v>
      </c>
      <c r="G3" s="19">
        <f>F3*465.34</f>
        <v>9772.14</v>
      </c>
    </row>
    <row r="4" spans="1:7" x14ac:dyDescent="0.3">
      <c r="A4" s="2" t="s">
        <v>15</v>
      </c>
      <c r="B4" s="2">
        <v>1</v>
      </c>
      <c r="C4" s="2">
        <v>1</v>
      </c>
      <c r="D4" s="2">
        <v>1</v>
      </c>
      <c r="E4" s="2">
        <v>1</v>
      </c>
      <c r="F4" s="2">
        <f t="shared" si="0"/>
        <v>4</v>
      </c>
      <c r="G4" s="19">
        <f>1383.29*F4</f>
        <v>5533.16</v>
      </c>
    </row>
    <row r="5" spans="1:7" x14ac:dyDescent="0.3">
      <c r="A5" s="2" t="s">
        <v>1</v>
      </c>
      <c r="B5" s="2">
        <v>1</v>
      </c>
      <c r="C5" s="2">
        <v>5</v>
      </c>
      <c r="D5" s="2">
        <v>0</v>
      </c>
      <c r="E5" s="2">
        <v>0</v>
      </c>
      <c r="F5" s="2">
        <f t="shared" si="0"/>
        <v>6</v>
      </c>
      <c r="G5" s="19">
        <f>6*645.34</f>
        <v>3872.04</v>
      </c>
    </row>
    <row r="6" spans="1:7" x14ac:dyDescent="0.3">
      <c r="A6" s="2" t="s">
        <v>2</v>
      </c>
      <c r="B6" s="2">
        <v>0</v>
      </c>
      <c r="C6" s="2">
        <v>0</v>
      </c>
      <c r="D6" s="2">
        <v>0</v>
      </c>
      <c r="E6" s="2">
        <v>1</v>
      </c>
      <c r="F6" s="2">
        <f>B6+C6+D6+E6</f>
        <v>1</v>
      </c>
      <c r="G6" s="19">
        <f>F6*30</f>
        <v>30</v>
      </c>
    </row>
    <row r="7" spans="1:7" x14ac:dyDescent="0.3">
      <c r="A7" s="2" t="s">
        <v>16</v>
      </c>
      <c r="B7" s="2">
        <v>7</v>
      </c>
      <c r="C7" s="2">
        <v>1</v>
      </c>
      <c r="D7" s="2">
        <v>4</v>
      </c>
      <c r="E7" s="2">
        <v>4</v>
      </c>
      <c r="F7" s="2">
        <f t="shared" si="0"/>
        <v>16</v>
      </c>
      <c r="G7" s="19">
        <f>F7*55</f>
        <v>880</v>
      </c>
    </row>
    <row r="8" spans="1:7" x14ac:dyDescent="0.3">
      <c r="A8" s="2" t="s">
        <v>3</v>
      </c>
      <c r="B8" s="2">
        <v>8</v>
      </c>
      <c r="C8" s="2">
        <v>5</v>
      </c>
      <c r="D8" s="2">
        <v>5</v>
      </c>
      <c r="E8" s="2">
        <v>5</v>
      </c>
      <c r="F8" s="2">
        <f t="shared" si="0"/>
        <v>23</v>
      </c>
      <c r="G8" s="19">
        <f>F8*60</f>
        <v>1380</v>
      </c>
    </row>
    <row r="9" spans="1:7" x14ac:dyDescent="0.3">
      <c r="A9" s="2" t="s">
        <v>4</v>
      </c>
      <c r="B9" s="2">
        <v>2</v>
      </c>
      <c r="C9" s="2">
        <v>1</v>
      </c>
      <c r="D9" s="2">
        <v>1</v>
      </c>
      <c r="E9" s="2">
        <v>1</v>
      </c>
      <c r="F9" s="2">
        <f t="shared" si="0"/>
        <v>5</v>
      </c>
      <c r="G9" s="19">
        <f>F9*400</f>
        <v>2000</v>
      </c>
    </row>
    <row r="10" spans="1:7" x14ac:dyDescent="0.3">
      <c r="A10" s="2" t="s">
        <v>5</v>
      </c>
      <c r="B10" s="2">
        <v>0</v>
      </c>
      <c r="C10" s="2">
        <v>0</v>
      </c>
      <c r="D10" s="2">
        <v>0</v>
      </c>
      <c r="E10" s="2">
        <v>1</v>
      </c>
      <c r="F10" s="2">
        <f t="shared" si="0"/>
        <v>1</v>
      </c>
      <c r="G10" s="19">
        <f>F10*250</f>
        <v>250</v>
      </c>
    </row>
    <row r="11" spans="1:7" x14ac:dyDescent="0.3">
      <c r="A11" s="2" t="s">
        <v>53</v>
      </c>
      <c r="B11" s="2">
        <v>1</v>
      </c>
      <c r="C11" s="2">
        <v>1</v>
      </c>
      <c r="D11" s="2">
        <v>0</v>
      </c>
      <c r="E11" s="2">
        <v>0</v>
      </c>
      <c r="F11" s="2">
        <v>2</v>
      </c>
      <c r="G11" s="19">
        <f>26561.24*2</f>
        <v>53122.48</v>
      </c>
    </row>
    <row r="12" spans="1:7" x14ac:dyDescent="0.3">
      <c r="A12" s="2" t="s">
        <v>54</v>
      </c>
      <c r="B12" s="2">
        <v>0</v>
      </c>
      <c r="C12" s="2">
        <v>0</v>
      </c>
      <c r="D12" s="2">
        <v>1</v>
      </c>
      <c r="E12" s="2">
        <v>1</v>
      </c>
      <c r="F12" s="2">
        <v>2</v>
      </c>
      <c r="G12" s="19">
        <f>F12*1383.29</f>
        <v>2766.58</v>
      </c>
    </row>
    <row r="13" spans="1:7" x14ac:dyDescent="0.3">
      <c r="A13" s="2" t="s">
        <v>18</v>
      </c>
      <c r="B13" s="2">
        <v>0</v>
      </c>
      <c r="C13" s="2">
        <v>0</v>
      </c>
      <c r="D13" s="2">
        <v>0</v>
      </c>
      <c r="E13" s="2">
        <v>1</v>
      </c>
      <c r="F13" s="2">
        <f t="shared" si="0"/>
        <v>1</v>
      </c>
      <c r="G13" s="19">
        <f>F13*300</f>
        <v>300</v>
      </c>
    </row>
    <row r="14" spans="1:7" x14ac:dyDescent="0.3">
      <c r="A14" s="2" t="s">
        <v>19</v>
      </c>
      <c r="B14" s="2">
        <v>1</v>
      </c>
      <c r="C14" s="2">
        <v>0</v>
      </c>
      <c r="D14" s="2">
        <v>0</v>
      </c>
      <c r="E14" s="2">
        <v>0</v>
      </c>
      <c r="F14" s="2">
        <f t="shared" si="0"/>
        <v>1</v>
      </c>
      <c r="G14" s="19">
        <f>F14*1000</f>
        <v>1000</v>
      </c>
    </row>
    <row r="15" spans="1:7" x14ac:dyDescent="0.3">
      <c r="A15" s="2" t="s">
        <v>20</v>
      </c>
      <c r="B15" s="2">
        <v>3</v>
      </c>
      <c r="C15" s="2">
        <v>0</v>
      </c>
      <c r="D15" s="2">
        <v>0</v>
      </c>
      <c r="E15" s="2">
        <v>0</v>
      </c>
      <c r="F15" s="2">
        <f t="shared" si="0"/>
        <v>3</v>
      </c>
      <c r="G15" s="19">
        <f>F15*95</f>
        <v>285</v>
      </c>
    </row>
    <row r="16" spans="1:7" x14ac:dyDescent="0.3">
      <c r="A16" s="14" t="s">
        <v>61</v>
      </c>
      <c r="B16" s="14">
        <v>2</v>
      </c>
      <c r="C16" s="14">
        <v>0</v>
      </c>
      <c r="D16" s="14">
        <v>0</v>
      </c>
      <c r="E16" s="14">
        <v>0</v>
      </c>
      <c r="F16">
        <f>B16+C16+D16+E16</f>
        <v>2</v>
      </c>
      <c r="G16" s="20">
        <f>F16*219.34</f>
        <v>438.68</v>
      </c>
    </row>
    <row r="17" spans="1:7" x14ac:dyDescent="0.3">
      <c r="A17" s="2" t="s">
        <v>7</v>
      </c>
      <c r="B17" s="2" t="s">
        <v>21</v>
      </c>
      <c r="C17" s="2" t="s">
        <v>22</v>
      </c>
      <c r="D17" s="2" t="s">
        <v>22</v>
      </c>
      <c r="E17" s="2" t="s">
        <v>22</v>
      </c>
      <c r="F17" s="2" t="s">
        <v>23</v>
      </c>
      <c r="G17" s="19">
        <v>300</v>
      </c>
    </row>
    <row r="18" spans="1:7" x14ac:dyDescent="0.3">
      <c r="A18" s="2" t="s">
        <v>6</v>
      </c>
      <c r="B18" s="2" t="s">
        <v>24</v>
      </c>
      <c r="C18" s="2" t="s">
        <v>17</v>
      </c>
      <c r="D18" s="2" t="s">
        <v>17</v>
      </c>
      <c r="E18" s="2" t="s">
        <v>17</v>
      </c>
      <c r="F18" s="2" t="s">
        <v>25</v>
      </c>
      <c r="G18" s="19">
        <v>750</v>
      </c>
    </row>
    <row r="19" spans="1:7" x14ac:dyDescent="0.3">
      <c r="A19" s="2"/>
      <c r="B19" s="2"/>
      <c r="C19" s="2"/>
      <c r="D19" s="2"/>
      <c r="E19" s="2"/>
      <c r="F19" s="12" t="s">
        <v>55</v>
      </c>
      <c r="G19" s="18">
        <f>G18+G17+G15+G14+G13+G12+G11+G10+G9+G8+G7+G6+G5+G4+G3</f>
        <v>82241.400000000009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1806-A867-4AB7-87A5-188388593F64}">
  <dimension ref="A1:D20"/>
  <sheetViews>
    <sheetView workbookViewId="0">
      <selection activeCell="D14" sqref="D14:D20"/>
    </sheetView>
  </sheetViews>
  <sheetFormatPr defaultRowHeight="14.4" x14ac:dyDescent="0.3"/>
  <cols>
    <col min="1" max="1" width="13.33203125" bestFit="1" customWidth="1"/>
    <col min="2" max="2" width="11.44140625" bestFit="1" customWidth="1"/>
    <col min="3" max="3" width="33.77734375" bestFit="1" customWidth="1"/>
    <col min="4" max="4" width="10.77734375" customWidth="1"/>
  </cols>
  <sheetData>
    <row r="1" spans="1:4" x14ac:dyDescent="0.3">
      <c r="B1" s="1"/>
      <c r="C1" s="1"/>
      <c r="D1" s="1"/>
    </row>
    <row r="2" spans="1:4" x14ac:dyDescent="0.3">
      <c r="A2" s="2" t="s">
        <v>46</v>
      </c>
      <c r="B2" s="2" t="s">
        <v>42</v>
      </c>
      <c r="C2" s="2" t="s">
        <v>43</v>
      </c>
      <c r="D2" s="2" t="s">
        <v>30</v>
      </c>
    </row>
    <row r="3" spans="1:4" x14ac:dyDescent="0.3">
      <c r="A3" s="3"/>
      <c r="B3" s="2" t="s">
        <v>26</v>
      </c>
      <c r="C3" s="2" t="s">
        <v>27</v>
      </c>
      <c r="D3" s="21">
        <v>133.34</v>
      </c>
    </row>
    <row r="4" spans="1:4" x14ac:dyDescent="0.3">
      <c r="A4" s="3"/>
      <c r="B4" s="2" t="s">
        <v>28</v>
      </c>
      <c r="C4" s="2" t="s">
        <v>29</v>
      </c>
      <c r="D4" s="21">
        <v>76</v>
      </c>
    </row>
    <row r="5" spans="1:4" x14ac:dyDescent="0.3">
      <c r="A5" s="3"/>
      <c r="B5" s="2" t="s">
        <v>31</v>
      </c>
      <c r="C5" s="2" t="s">
        <v>32</v>
      </c>
      <c r="D5" s="21">
        <v>68</v>
      </c>
    </row>
    <row r="6" spans="1:4" x14ac:dyDescent="0.3">
      <c r="A6" s="3"/>
      <c r="B6" s="2" t="s">
        <v>33</v>
      </c>
      <c r="C6" s="2" t="s">
        <v>34</v>
      </c>
      <c r="D6" s="21">
        <v>100</v>
      </c>
    </row>
    <row r="7" spans="1:4" x14ac:dyDescent="0.3">
      <c r="A7" s="3"/>
      <c r="B7" s="2" t="s">
        <v>35</v>
      </c>
      <c r="C7" s="2" t="s">
        <v>38</v>
      </c>
      <c r="D7" s="21">
        <v>55</v>
      </c>
    </row>
    <row r="8" spans="1:4" x14ac:dyDescent="0.3">
      <c r="A8" s="3"/>
      <c r="B8" s="2" t="s">
        <v>36</v>
      </c>
      <c r="C8" s="2" t="s">
        <v>37</v>
      </c>
      <c r="D8" s="21">
        <v>33</v>
      </c>
    </row>
    <row r="9" spans="1:4" x14ac:dyDescent="0.3">
      <c r="A9" s="3"/>
      <c r="B9" s="2"/>
      <c r="C9" s="13" t="s">
        <v>39</v>
      </c>
      <c r="D9" s="18">
        <f>D3+D4+D5+D6+D7+D8</f>
        <v>465.34000000000003</v>
      </c>
    </row>
    <row r="10" spans="1:4" x14ac:dyDescent="0.3">
      <c r="A10" s="3"/>
      <c r="B10" s="3"/>
      <c r="C10" s="3"/>
      <c r="D10" s="3"/>
    </row>
    <row r="11" spans="1:4" x14ac:dyDescent="0.3">
      <c r="A11" s="3"/>
      <c r="B11" s="3"/>
      <c r="C11" s="3"/>
      <c r="D11" s="3"/>
    </row>
    <row r="12" spans="1:4" x14ac:dyDescent="0.3">
      <c r="A12" s="3"/>
      <c r="B12" s="3"/>
      <c r="C12" s="3"/>
      <c r="D12" s="3"/>
    </row>
    <row r="13" spans="1:4" x14ac:dyDescent="0.3">
      <c r="A13" s="2" t="s">
        <v>62</v>
      </c>
      <c r="B13" s="2" t="s">
        <v>42</v>
      </c>
      <c r="C13" s="2" t="s">
        <v>43</v>
      </c>
      <c r="D13" s="2" t="s">
        <v>30</v>
      </c>
    </row>
    <row r="14" spans="1:4" ht="15.6" x14ac:dyDescent="0.3">
      <c r="A14" s="3"/>
      <c r="B14" s="2" t="s">
        <v>26</v>
      </c>
      <c r="C14" s="4" t="s">
        <v>47</v>
      </c>
      <c r="D14" s="21">
        <v>319.91000000000003</v>
      </c>
    </row>
    <row r="15" spans="1:4" x14ac:dyDescent="0.3">
      <c r="A15" s="3"/>
      <c r="B15" s="2" t="s">
        <v>28</v>
      </c>
      <c r="C15" s="2" t="s">
        <v>52</v>
      </c>
      <c r="D15" s="21">
        <v>226.6</v>
      </c>
    </row>
    <row r="16" spans="1:4" x14ac:dyDescent="0.3">
      <c r="A16" s="3"/>
      <c r="B16" s="2" t="s">
        <v>31</v>
      </c>
      <c r="C16" s="2" t="s">
        <v>48</v>
      </c>
      <c r="D16" s="21">
        <v>533.17999999999995</v>
      </c>
    </row>
    <row r="17" spans="1:4" x14ac:dyDescent="0.3">
      <c r="A17" s="3"/>
      <c r="B17" s="2" t="s">
        <v>33</v>
      </c>
      <c r="C17" s="2" t="s">
        <v>49</v>
      </c>
      <c r="D17" s="21">
        <v>140.19999999999999</v>
      </c>
    </row>
    <row r="18" spans="1:4" x14ac:dyDescent="0.3">
      <c r="A18" s="3"/>
      <c r="B18" s="2" t="s">
        <v>35</v>
      </c>
      <c r="C18" s="2" t="s">
        <v>50</v>
      </c>
      <c r="D18" s="21">
        <v>80</v>
      </c>
    </row>
    <row r="19" spans="1:4" ht="14.25" customHeight="1" x14ac:dyDescent="0.3">
      <c r="A19" s="3"/>
      <c r="B19" s="2" t="s">
        <v>36</v>
      </c>
      <c r="C19" s="2" t="s">
        <v>51</v>
      </c>
      <c r="D19" s="21">
        <v>83.4</v>
      </c>
    </row>
    <row r="20" spans="1:4" x14ac:dyDescent="0.3">
      <c r="A20" s="3"/>
      <c r="B20" s="2"/>
      <c r="C20" s="13" t="s">
        <v>39</v>
      </c>
      <c r="D20" s="18">
        <f>D14+D15+D16+D17+D18+D19</f>
        <v>1383.2900000000002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1946-6DF5-47CD-A15C-97F472879888}">
  <dimension ref="A2:C9"/>
  <sheetViews>
    <sheetView topLeftCell="A2" zoomScale="70" zoomScaleNormal="70" workbookViewId="0">
      <selection activeCell="C3" sqref="C3"/>
    </sheetView>
  </sheetViews>
  <sheetFormatPr defaultRowHeight="14.4" x14ac:dyDescent="0.3"/>
  <cols>
    <col min="1" max="1" width="22.21875" customWidth="1"/>
    <col min="2" max="2" width="58.33203125" bestFit="1" customWidth="1"/>
    <col min="3" max="3" width="9.44140625" bestFit="1" customWidth="1"/>
  </cols>
  <sheetData>
    <row r="2" spans="1:3" x14ac:dyDescent="0.3">
      <c r="C2" t="s">
        <v>30</v>
      </c>
    </row>
    <row r="3" spans="1:3" x14ac:dyDescent="0.3">
      <c r="A3" s="2" t="s">
        <v>41</v>
      </c>
      <c r="B3" s="2" t="s">
        <v>40</v>
      </c>
      <c r="C3" s="16">
        <v>645.34</v>
      </c>
    </row>
    <row r="4" spans="1:3" x14ac:dyDescent="0.3">
      <c r="A4" s="2" t="s">
        <v>45</v>
      </c>
      <c r="B4" s="8" t="s">
        <v>44</v>
      </c>
      <c r="C4" s="2"/>
    </row>
    <row r="5" spans="1:3" x14ac:dyDescent="0.3">
      <c r="A5" s="3"/>
      <c r="B5" s="3"/>
      <c r="C5" s="3"/>
    </row>
    <row r="6" spans="1:3" x14ac:dyDescent="0.3">
      <c r="A6" s="3"/>
      <c r="B6" s="3"/>
      <c r="C6" s="3"/>
    </row>
    <row r="7" spans="1:3" x14ac:dyDescent="0.3">
      <c r="A7" s="2" t="s">
        <v>26</v>
      </c>
      <c r="B7" s="5" t="s">
        <v>56</v>
      </c>
      <c r="C7" s="3"/>
    </row>
    <row r="8" spans="1:3" x14ac:dyDescent="0.3">
      <c r="A8" s="2" t="s">
        <v>31</v>
      </c>
      <c r="B8" s="6" t="s">
        <v>48</v>
      </c>
      <c r="C8" s="3"/>
    </row>
    <row r="9" spans="1:3" x14ac:dyDescent="0.3">
      <c r="A9" s="2" t="s">
        <v>57</v>
      </c>
      <c r="B9" s="7" t="s">
        <v>58</v>
      </c>
      <c r="C9" s="3"/>
    </row>
  </sheetData>
  <hyperlinks>
    <hyperlink ref="B4" r:id="rId1" xr:uid="{088442AC-7931-4CD2-B346-F48B48466A8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5558-1128-46F2-B5D0-284A6299A096}">
  <dimension ref="A1:B3"/>
  <sheetViews>
    <sheetView zoomScaleNormal="100" workbookViewId="0">
      <selection activeCell="B2" sqref="B2"/>
    </sheetView>
  </sheetViews>
  <sheetFormatPr defaultRowHeight="14.4" x14ac:dyDescent="0.3"/>
  <cols>
    <col min="1" max="1" width="61" customWidth="1"/>
    <col min="2" max="2" width="11.5546875" bestFit="1" customWidth="1"/>
  </cols>
  <sheetData>
    <row r="1" spans="1:2" ht="20.100000000000001" customHeight="1" x14ac:dyDescent="0.3">
      <c r="A1" s="11" t="s">
        <v>41</v>
      </c>
      <c r="B1" s="1" t="s">
        <v>30</v>
      </c>
    </row>
    <row r="2" spans="1:2" ht="94.8" customHeight="1" x14ac:dyDescent="0.3">
      <c r="A2" s="9" t="s">
        <v>59</v>
      </c>
      <c r="B2" s="22">
        <v>26561.24</v>
      </c>
    </row>
    <row r="3" spans="1:2" ht="14.25" customHeight="1" x14ac:dyDescent="0.3">
      <c r="A3" s="10" t="s">
        <v>60</v>
      </c>
      <c r="B3" s="1"/>
    </row>
  </sheetData>
  <hyperlinks>
    <hyperlink ref="A3" r:id="rId1" xr:uid="{E27FA90F-7B6A-4E69-9FBC-1B7D8BEEC723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A8D2-0595-41CF-90FC-9C52C5B29BDC}">
  <dimension ref="A1:C3"/>
  <sheetViews>
    <sheetView tabSelected="1" workbookViewId="0">
      <selection activeCell="D9" sqref="D9"/>
    </sheetView>
  </sheetViews>
  <sheetFormatPr defaultRowHeight="14.4" x14ac:dyDescent="0.3"/>
  <cols>
    <col min="2" max="2" width="58.109375" bestFit="1" customWidth="1"/>
    <col min="3" max="3" width="11.109375" bestFit="1" customWidth="1"/>
  </cols>
  <sheetData>
    <row r="1" spans="1:3" x14ac:dyDescent="0.3">
      <c r="C1" t="s">
        <v>30</v>
      </c>
    </row>
    <row r="2" spans="1:3" x14ac:dyDescent="0.3">
      <c r="A2" s="2" t="s">
        <v>41</v>
      </c>
      <c r="B2" s="2" t="s">
        <v>64</v>
      </c>
      <c r="C2" s="17">
        <v>219.34</v>
      </c>
    </row>
    <row r="3" spans="1:3" x14ac:dyDescent="0.3">
      <c r="A3" s="2" t="s">
        <v>45</v>
      </c>
      <c r="B3" s="15" t="s">
        <v>63</v>
      </c>
      <c r="C3" s="17"/>
    </row>
  </sheetData>
  <hyperlinks>
    <hyperlink ref="B3" r:id="rId1" xr:uid="{174AB5D8-FF43-4BD8-B406-4F6CBE76EC1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2CC2-4B7C-42D0-8DA7-565399B726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Össz.</vt:lpstr>
      <vt:lpstr>Pc</vt:lpstr>
      <vt:lpstr>Laptop</vt:lpstr>
      <vt:lpstr>Szerver</vt:lpstr>
      <vt:lpstr>Tablet</vt:lpstr>
      <vt:lpstr>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Szekeres Rafael Alex</dc:creator>
  <cp:lastModifiedBy>Szekeres Rafael Alex</cp:lastModifiedBy>
  <dcterms:created xsi:type="dcterms:W3CDTF">2026-01-27T21:31:48Z</dcterms:created>
  <dcterms:modified xsi:type="dcterms:W3CDTF">2026-04-27T18:50:26Z</dcterms:modified>
</cp:coreProperties>
</file>